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matraxia\Documents\HOST2HOST\specifiche\"/>
    </mc:Choice>
  </mc:AlternateContent>
  <bookViews>
    <workbookView xWindow="0" yWindow="0" windowWidth="23040" windowHeight="8976"/>
  </bookViews>
  <sheets>
    <sheet name="Test Cases" sheetId="1" r:id="rId1"/>
    <sheet name="Riepilogo" sheetId="2" r:id="rId2"/>
    <sheet name="Istruzioni" sheetId="3" r:id="rId3"/>
  </sheets>
  <definedNames>
    <definedName name="_xlnm._FilterDatabase" localSheetId="0" hidden="1">'Test Cases'!$A$1:$M$59</definedName>
  </definedNames>
  <calcPr calcId="152511"/>
  <fileRecoveryPr repairLoad="1"/>
</workbook>
</file>

<file path=xl/calcChain.xml><?xml version="1.0" encoding="utf-8"?>
<calcChain xmlns="http://schemas.openxmlformats.org/spreadsheetml/2006/main">
  <c r="D20" i="2" l="1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C8" i="2"/>
  <c r="B8" i="2"/>
  <c r="C7" i="2"/>
  <c r="B7" i="2"/>
  <c r="C6" i="2"/>
  <c r="B6" i="2"/>
  <c r="C5" i="2"/>
  <c r="C9" i="2" s="1"/>
  <c r="B5" i="2"/>
  <c r="C4" i="2"/>
  <c r="B4" i="2"/>
  <c r="B9" i="2" l="1"/>
</calcChain>
</file>

<file path=xl/sharedStrings.xml><?xml version="1.0" encoding="utf-8"?>
<sst xmlns="http://schemas.openxmlformats.org/spreadsheetml/2006/main" count="680" uniqueCount="356">
  <si>
    <t>ID</t>
  </si>
  <si>
    <t>Categoria</t>
  </si>
  <si>
    <t>Priorità</t>
  </si>
  <si>
    <t>Descrizione</t>
  </si>
  <si>
    <t>Precondizioni</t>
  </si>
  <si>
    <t>Input / Dati di test</t>
  </si>
  <si>
    <t>Passi di esecuzione</t>
  </si>
  <si>
    <t>Output atteso</t>
  </si>
  <si>
    <t>Esito effettivo</t>
  </si>
  <si>
    <t>Stato</t>
  </si>
  <si>
    <t>Data esecuzione</t>
  </si>
  <si>
    <t>Tester</t>
  </si>
  <si>
    <t>Note</t>
  </si>
  <si>
    <t>TC-EXP-001</t>
  </si>
  <si>
    <t>Export PDF</t>
  </si>
  <si>
    <t>Alta</t>
  </si>
  <si>
    <t>Generazione PDF valida</t>
  </si>
  <si>
    <t>Record validi presenti in VIEW_H2H_SEI_PDF con BLOB valorizzato</t>
  </si>
  <si>
    <t>Record Oracle con FILE_COMUNICAZIONE valido</t>
  </si>
  <si>
    <t>Invocare POST /api/seipdf/export-pdf; verificare filesystem e DB</t>
  </si>
  <si>
    <t>PDF creato in E:\DaInviare; STATO=50; flag SEIPDF/INVIATO aggiornati; log inseriti</t>
  </si>
  <si>
    <t>Da eseguire</t>
  </si>
  <si>
    <t>TC-EXP-002</t>
  </si>
  <si>
    <t>Media</t>
  </si>
  <si>
    <t>Nessun record disponibile</t>
  </si>
  <si>
    <t>La view non restituisce record elaborabili</t>
  </si>
  <si>
    <t>VIEW_H2H_SEI_PDF vuota o senza record idonei</t>
  </si>
  <si>
    <t>Invocare export-pdf</t>
  </si>
  <si>
    <t>Nessun PDF creato; risposta con total=0 o exported=0; log informativo</t>
  </si>
  <si>
    <t>TC-EXP-003</t>
  </si>
  <si>
    <t>BLOB nullo</t>
  </si>
  <si>
    <t>Record presente ma FILE_COMUNICAZIONE nullo o vuoto</t>
  </si>
  <si>
    <t>Record Oracle con BLOB null</t>
  </si>
  <si>
    <t>File non creato; nullBlob incrementato; STATO=92; log errore/warning</t>
  </si>
  <si>
    <t>TC-EXP-004</t>
  </si>
  <si>
    <t>Verifica nomenclatura PDF</t>
  </si>
  <si>
    <t>Record valido con campi FR/FF, centro costo, elaborazione, tipo, servizio valorizzati</t>
  </si>
  <si>
    <t>Metadati completi nel record</t>
  </si>
  <si>
    <t>Invocare export-pdf e controllare nome file generato</t>
  </si>
  <si>
    <t>Nome file conforme al formato storico: FR/FF_Cx&lt;elaborazione&gt;_&lt;tipo&gt;_&lt;servizio&gt;.pdf</t>
  </si>
  <si>
    <t>TC-EXP-005</t>
  </si>
  <si>
    <t>Directory output non accessibile</t>
  </si>
  <si>
    <t>Directory E:\DaInviare non accessibile o senza permessi di scrittura</t>
  </si>
  <si>
    <t>Permessi filesystem rimossi o path non disponibile</t>
  </si>
  <si>
    <t>Errore gestito; errors incrementato; log dettaglio; eventuale STATO=92 sul record</t>
  </si>
  <si>
    <t>TC-EXP-006</t>
  </si>
  <si>
    <t>Elevato numero di record</t>
  </si>
  <si>
    <t>Disponibilità di molti record validi</t>
  </si>
  <si>
    <t>Dataset &gt; 1000 record oppure MaxRecords impostato per stress test</t>
  </si>
  <si>
    <t>Processo completato senza crash; uso memoria stabile; conteggi coerenti</t>
  </si>
  <si>
    <t>TC-EXP-007</t>
  </si>
  <si>
    <t>Limite MaxRecords</t>
  </si>
  <si>
    <t>Parametro MaxRecords valorizzato &gt; 0</t>
  </si>
  <si>
    <t>Più record disponibili rispetto al limite configurato</t>
  </si>
  <si>
    <t>Elaborati al massimo MaxRecords record; risposta coerente</t>
  </si>
  <si>
    <t>TC-EXP-008</t>
  </si>
  <si>
    <t>Errore DB durante lettura</t>
  </si>
  <si>
    <t>Database non raggiungibile o credenziali errate in ambiente test</t>
  </si>
  <si>
    <t>Connection string non valida o DB offline</t>
  </si>
  <si>
    <t>HTTP 500 o errore gestito; log applicativo dettagliato; nessun file parziale incoerente</t>
  </si>
  <si>
    <t>TC-ZIP-001</t>
  </si>
  <si>
    <t>ZIP</t>
  </si>
  <si>
    <t>Creazione ZIP corretta</t>
  </si>
  <si>
    <t>PDF validi presenti in E:\DaInviare</t>
  </si>
  <si>
    <t>PDF conformi al pattern FR_/FF_ + Cx</t>
  </si>
  <si>
    <t>Invocare POST /api/seipdf/create-zip</t>
  </si>
  <si>
    <t>ZIP creato; file .t creato; PDF zippati eliminati; mapping ZIP-PDF inserito su DB</t>
  </si>
  <si>
    <t>TC-ZIP-002</t>
  </si>
  <si>
    <t>Rispetto limite dimensione ZIP</t>
  </si>
  <si>
    <t>PDF multipli presenti in E:\DaInviare</t>
  </si>
  <si>
    <t>Dataset dimensionato per superare 15 MB se in unico ZIP</t>
  </si>
  <si>
    <t>Invocare create-zip</t>
  </si>
  <si>
    <t>Creati più ZIP; ogni ZIP entro limite configurato; nessun lotto rifiutabile per dimensione</t>
  </si>
  <si>
    <t>TC-ZIP-003</t>
  </si>
  <si>
    <t>Nessun PDF presente</t>
  </si>
  <si>
    <t>Cartella E:\DaInviare senza PDF</t>
  </si>
  <si>
    <t>Directory vuota o solo ZIP/.t</t>
  </si>
  <si>
    <t>Nessun ZIP creato; totalPdfFound=0; log informativo</t>
  </si>
  <si>
    <t>TC-ZIP-004</t>
  </si>
  <si>
    <t>PDF singolo troppo grande</t>
  </si>
  <si>
    <t>PDF singolo oltre limite massimo configurato</t>
  </si>
  <si>
    <t>File PDF &gt; MaxZipSizeMb</t>
  </si>
  <si>
    <t>Nessun ZIP valido creato per quel PDF; log warning; file originale non perso</t>
  </si>
  <si>
    <t>TC-ZIP-005</t>
  </si>
  <si>
    <t>Limite massimo file per ZIP</t>
  </si>
  <si>
    <t>Più di 250 PDF nello stesso gruppo</t>
  </si>
  <si>
    <t>Dataset &gt; MaxFilesPerZip</t>
  </si>
  <si>
    <t>Ogni ZIP contiene al massimo 250 PDF; creati ZIP multipli</t>
  </si>
  <si>
    <t>TC-ZIP-006</t>
  </si>
  <si>
    <t>Raggruppamento corretto per prefisso/categoria</t>
  </si>
  <si>
    <t>PDF con gruppi FR_C1, FR_C2, FF_C1 ecc.</t>
  </si>
  <si>
    <t>File denominati secondo pattern ^(FR_|FF_)(C\d+)_</t>
  </si>
  <si>
    <t>Creati ZIP separati per gruppo; nome ZIP PM_&lt;gruppo&gt;_&lt;sequence&gt;.zip</t>
  </si>
  <si>
    <t>TC-ZIP-007</t>
  </si>
  <si>
    <t>File PDF in uso/bloccato</t>
  </si>
  <si>
    <t>Uno o più PDF bloccati da altro processo</t>
  </si>
  <si>
    <t>Aprire un PDF in lock esclusivo durante il test</t>
  </si>
  <si>
    <t>Errore gestito e loggato; nessuna perdita dati; file riprocessabile al ciclo successivo</t>
  </si>
  <si>
    <t>TC-ZIP-008</t>
  </si>
  <si>
    <t>Eliminazione PDF post ZIP</t>
  </si>
  <si>
    <t>PDF zippati correttamente</t>
  </si>
  <si>
    <t>Dataset con PDF validi</t>
  </si>
  <si>
    <t>Invocare create-zip e verificare cartella</t>
  </si>
  <si>
    <t>I PDF inclusi nello ZIP vengono rimossi da E:\DaInviare</t>
  </si>
  <si>
    <t>TC-ZIP-009</t>
  </si>
  <si>
    <t>Mapping DB ZIP-PDF corretto</t>
  </si>
  <si>
    <t>PDF validi zippati</t>
  </si>
  <si>
    <t>Dataset con elaborazioni note</t>
  </si>
  <si>
    <t>Invocare create-zip; interrogare DB</t>
  </si>
  <si>
    <t>Associazione lotto ZIP → PDF salvata correttamente</t>
  </si>
  <si>
    <t>TC-ZIP-010</t>
  </si>
  <si>
    <t>Creazione file .t</t>
  </si>
  <si>
    <t>ZIP creato correttamente</t>
  </si>
  <si>
    <t>Dataset PDF valido</t>
  </si>
  <si>
    <t>Per ogni ZIP è presente il corrispondente file .t con stesso nome base</t>
  </si>
  <si>
    <t>TC-ZIP-011</t>
  </si>
  <si>
    <t>CreateMultipleZipsPerRun=false</t>
  </si>
  <si>
    <t>Parametro CreateMultipleZipsPerRun impostato a false</t>
  </si>
  <si>
    <t>PDF sufficienti per più ZIP</t>
  </si>
  <si>
    <t>Creazione di un solo ZIP per esecuzione</t>
  </si>
  <si>
    <t>TC-ZIP-012</t>
  </si>
  <si>
    <t>PDF con nome non conforme al pattern</t>
  </si>
  <si>
    <t>PDF presenti ma non conformi a naming FR_/FF_ + Cx</t>
  </si>
  <si>
    <t>File es. TEST.pdf</t>
  </si>
  <si>
    <t>File ignorato; nessun errore bloccante; log/risposta coerente</t>
  </si>
  <si>
    <t>TC-FTP-001</t>
  </si>
  <si>
    <t>Invio FTP</t>
  </si>
  <si>
    <t>Invio ZIP corretto</t>
  </si>
  <si>
    <t>ZIP presente in E:\DaInviare e server FTPS raggiungibile</t>
  </si>
  <si>
    <t>File PM_*.zip valido</t>
  </si>
  <si>
    <t>Invocare /inviaFtp tramite bat o POST</t>
  </si>
  <si>
    <t>ZIP inviato a Postel; log DB aggiornato; file spostato in E:\Inviati</t>
  </si>
  <si>
    <t>TC-FTP-002</t>
  </si>
  <si>
    <t>Invio .t dopo ZIP</t>
  </si>
  <si>
    <t>File .t presente e ZIP associato già in E:\Inviati</t>
  </si>
  <si>
    <t>File PM_*.t e corrispondente PM_*.zip in Inviati</t>
  </si>
  <si>
    <t>Invocare /inviaFtp</t>
  </si>
  <si>
    <t>.t inviato e spostato in E:\Inviati</t>
  </si>
  <si>
    <t>TC-FTP-003</t>
  </si>
  <si>
    <t>.t senza ZIP associato inviato</t>
  </si>
  <si>
    <t>File .t presente ma ZIP associato non presente in E:\Inviati</t>
  </si>
  <si>
    <t>PM_*.t in DaInviare senza ZIP in Inviati</t>
  </si>
  <si>
    <t>.t saltato; messaggio di skip; file resta in DaInviare</t>
  </si>
  <si>
    <t>TC-FTP-004</t>
  </si>
  <si>
    <t>Nessun file da inviare</t>
  </si>
  <si>
    <t>Cartella DaInviare priva di ZIP e .t</t>
  </si>
  <si>
    <t>Directory vuota o solo PDF</t>
  </si>
  <si>
    <t>Output 'Nessun file da inviare'; nessun errore</t>
  </si>
  <si>
    <t>TC-FTP-005</t>
  </si>
  <si>
    <t>Errore connessione FTPS</t>
  </si>
  <si>
    <t>Server FTPS non raggiungibile o credenziali errate in test</t>
  </si>
  <si>
    <t>Configurazione FTP non valida o server offline</t>
  </si>
  <si>
    <t>Upload fallito; errore loggato; file resta in DaInviare per retry</t>
  </si>
  <si>
    <t>TC-FTP-006</t>
  </si>
  <si>
    <t>Invio massivo ordinato</t>
  </si>
  <si>
    <t>Più ZIP presenti in DaInviare</t>
  </si>
  <si>
    <t>File con nomi diversi</t>
  </si>
  <si>
    <t>ZIP processati in ordine alfabetico</t>
  </si>
  <si>
    <t>TC-FTP-007</t>
  </si>
  <si>
    <t>Invio singolo file tramite nomeFile</t>
  </si>
  <si>
    <t>File specifico presente in DaInviare</t>
  </si>
  <si>
    <t>{"nomeFile":"PM_FR_C2_0002757.zip"}</t>
  </si>
  <si>
    <t>Invocare POST /inviaFtp con JSON</t>
  </si>
  <si>
    <t>Solo il file indicato viene processato</t>
  </si>
  <si>
    <t>TC-FTP-008</t>
  </si>
  <si>
    <t>nomeFile non esistente</t>
  </si>
  <si>
    <t>Richiesta con nomeFile inesistente</t>
  </si>
  <si>
    <t>{"nomeFile":"file_non_presente.zip"}</t>
  </si>
  <si>
    <t>Invocare POST /inviaFtp</t>
  </si>
  <si>
    <t>HTTP 400 File non trovato</t>
  </si>
  <si>
    <t>TC-FTP-009</t>
  </si>
  <si>
    <t>Spostamento file in Inviati</t>
  </si>
  <si>
    <t>Upload completato con successo</t>
  </si>
  <si>
    <t>ZIP o .t valido</t>
  </si>
  <si>
    <t>File spostato da DaInviare a Inviati con retry in caso di lock</t>
  </si>
  <si>
    <t>TC-FTP-010</t>
  </si>
  <si>
    <t>Aggiornamento log DB invio</t>
  </si>
  <si>
    <t>Lotto noto</t>
  </si>
  <si>
    <t>Invocare /inviaFtp; verificare DB</t>
  </si>
  <si>
    <t>H2H_SEIPDF_LOG aggiornato con INVIATO=1 e DATA_INVIO; log tecnico inserito</t>
  </si>
  <si>
    <t>TC-FTP-011</t>
  </si>
  <si>
    <t>File readonly</t>
  </si>
  <si>
    <t>File da inviare con attributo readonly</t>
  </si>
  <si>
    <t>Impostare attributo readonly su ZIP</t>
  </si>
  <si>
    <t>Upload OK; attributo gestito; file spostato oppure errore loggato dopo retry</t>
  </si>
  <si>
    <t>TC-MAIL-001</t>
  </si>
  <si>
    <t>Mail</t>
  </si>
  <si>
    <t>Parsing email valida</t>
  </si>
  <si>
    <t>Email non letta con oggetto rilevante e allegato valido</t>
  </si>
  <si>
    <t>Email Postel con XML esito</t>
  </si>
  <si>
    <t>Invocare GET /api/Mail/download-unread</t>
  </si>
  <si>
    <t>Allegato salvato; XML processato; stato lotto aggiornato; email marcata letta</t>
  </si>
  <si>
    <t>TC-MAIL-002</t>
  </si>
  <si>
    <t>Email non rilevante</t>
  </si>
  <si>
    <t>Email non letta con oggetto non configurato</t>
  </si>
  <si>
    <t>Oggetto fuori SubjectsOfInterest</t>
  </si>
  <si>
    <t>Invocare download-unread</t>
  </si>
  <si>
    <t>Email ignorata; warning/log; non marcata come elaborazione rilevante</t>
  </si>
  <si>
    <t>TC-MAIL-003</t>
  </si>
  <si>
    <t>Email senza allegato</t>
  </si>
  <si>
    <t>Email rilevante ma senza allegati</t>
  </si>
  <si>
    <t>Oggetto valido, nessun attachment</t>
  </si>
  <si>
    <t>Nessun file salvato; email marcata letta se rilevante; log coerente</t>
  </si>
  <si>
    <t>TC-MAIL-004</t>
  </si>
  <si>
    <t>Allegato XML non valido</t>
  </si>
  <si>
    <t>Email rilevante con allegato malformato</t>
  </si>
  <si>
    <t>XML non valido o contenuto non parseabile</t>
  </si>
  <si>
    <t>Errore loggato; nessun aggiornamento stato errato; processo continua</t>
  </si>
  <si>
    <t>TC-MAIL-005</t>
  </si>
  <si>
    <t>Limite MaxEmailsToRead</t>
  </si>
  <si>
    <t>Più email non lette del limite configurato</t>
  </si>
  <si>
    <t>Casella con molte email non lette</t>
  </si>
  <si>
    <t>Elaborate al massimo le prime MaxEmailsToRead email</t>
  </si>
  <si>
    <t>TC-MAIL-006</t>
  </si>
  <si>
    <t>Aggiornamento stato RICEVUTO</t>
  </si>
  <si>
    <t>Email Postel con stato RICEVUTO</t>
  </si>
  <si>
    <t>Allegato esito valido</t>
  </si>
  <si>
    <t>Stato lotto aggiornato a RICEVUTO</t>
  </si>
  <si>
    <t>TC-MAIL-007</t>
  </si>
  <si>
    <t>Aggiornamento stato ACCETTATO</t>
  </si>
  <si>
    <t>Email Postel con stato ACCETTATO</t>
  </si>
  <si>
    <t>Stato lotto aggiornato ad ACCETTATO</t>
  </si>
  <si>
    <t>TC-MAIL-008</t>
  </si>
  <si>
    <t>Aggiornamento stato ELABORATO</t>
  </si>
  <si>
    <t>Email Postel con stato ELABORATO</t>
  </si>
  <si>
    <t>Stato lotto aggiornato a ELABORATO</t>
  </si>
  <si>
    <t>TC-MAIL-009</t>
  </si>
  <si>
    <t>Errore autenticazione Office365</t>
  </si>
  <si>
    <t>Credenziali OAuth2 non valide o tenant errato in test</t>
  </si>
  <si>
    <t>ClientSecret/ClientId errati</t>
  </si>
  <si>
    <t>Errore loggato; response success false o errore gestito</t>
  </si>
  <si>
    <t>TC-MAIL-010</t>
  </si>
  <si>
    <t>Casella senza email non lette</t>
  </si>
  <si>
    <t>Inbox senza messaggi NotSeen</t>
  </si>
  <si>
    <t>Casella pulita</t>
  </si>
  <si>
    <t>count=0; nessun file salvato; log informativo</t>
  </si>
  <si>
    <t>TC-HEALTH-001</t>
  </si>
  <si>
    <t>Health</t>
  </si>
  <si>
    <t>Health check OK</t>
  </si>
  <si>
    <t>DB e directory configurate accessibili</t>
  </si>
  <si>
    <t>Ambiente correttamente configurato</t>
  </si>
  <si>
    <t>Invocare GET /health</t>
  </si>
  <si>
    <t>HTTP 200; status=Healthy; oracle=OK; filesystem OK</t>
  </si>
  <si>
    <t>TC-HEALTH-002</t>
  </si>
  <si>
    <t>Health check DB non disponibile</t>
  </si>
  <si>
    <t>Oracle non raggiungibile</t>
  </si>
  <si>
    <t>DB offline o connection string errata</t>
  </si>
  <si>
    <t>Invocare /health</t>
  </si>
  <si>
    <t>HTTP 503; status=Unhealthy; errore Oracle presente</t>
  </si>
  <si>
    <t>TC-HEALTH-003</t>
  </si>
  <si>
    <t>Health check directory non scrivibile</t>
  </si>
  <si>
    <t>Directory senza permessi di scrittura</t>
  </si>
  <si>
    <t>Rimuovere permessi su cartella test</t>
  </si>
  <si>
    <t>HTTP 503; filesystem ERROR; dettaglio errori presente</t>
  </si>
  <si>
    <t>TC-FS-001</t>
  </si>
  <si>
    <t>Filesystem</t>
  </si>
  <si>
    <t>Permessi insufficienti su DaInviare</t>
  </si>
  <si>
    <t>Account IIS/Tomcat senza Modify</t>
  </si>
  <si>
    <t>Rimuovere permessi in ambiente test</t>
  </si>
  <si>
    <t>Eseguire export/zip/ftp</t>
  </si>
  <si>
    <t>Errore accesso loggato; nessun comportamento silenzioso</t>
  </si>
  <si>
    <t>TC-FS-002</t>
  </si>
  <si>
    <t>File lockato</t>
  </si>
  <si>
    <t>File aperto da altro processo</t>
  </si>
  <si>
    <t>Bloccare un PDF/ZIP in modo esclusivo</t>
  </si>
  <si>
    <t>Eseguire zip/ftp</t>
  </si>
  <si>
    <t>Errore gestito o retry; nessun crash applicativo</t>
  </si>
  <si>
    <t>TC-FS-003</t>
  </si>
  <si>
    <t>Spazio disco insufficiente</t>
  </si>
  <si>
    <t>Disco o quota satura in ambiente test</t>
  </si>
  <si>
    <t>Simulare spazio insufficiente</t>
  </si>
  <si>
    <t>Eseguire export/zip</t>
  </si>
  <si>
    <t>Errore loggato; file parziali non compromettono ripartenza</t>
  </si>
  <si>
    <t>TC-FS-004</t>
  </si>
  <si>
    <t>Cartella Inviati non disponibile</t>
  </si>
  <si>
    <t>Directory E:\Inviati assente o non accessibile</t>
  </si>
  <si>
    <t>Rinominare/rimuovere cartella in test</t>
  </si>
  <si>
    <t>Eseguire invioFtp</t>
  </si>
  <si>
    <t>Errore spostamento loggato; file non perso</t>
  </si>
  <si>
    <t>TC-SCH-001</t>
  </si>
  <si>
    <t>Scheduler</t>
  </si>
  <si>
    <t>Esecuzione corretta job Export PDF</t>
  </si>
  <si>
    <t>Task Scheduler configurato</t>
  </si>
  <si>
    <t>Script PowerShell export presente</t>
  </si>
  <si>
    <t>Avviare task manualmente</t>
  </si>
  <si>
    <t>Task completato; log scheduler creato; API invocata</t>
  </si>
  <si>
    <t>TC-SCH-002</t>
  </si>
  <si>
    <t>Esecuzione corretta job Create ZIP</t>
  </si>
  <si>
    <t>Script PowerShell zip presente</t>
  </si>
  <si>
    <t>Task completato; ZIP creati o log nessun PDF</t>
  </si>
  <si>
    <t>TC-SCH-003</t>
  </si>
  <si>
    <t>Esecuzione corretta job Invio FTP</t>
  </si>
  <si>
    <t>Script .bat invioFtp presente</t>
  </si>
  <si>
    <t>Servlet invocata; log Java creato</t>
  </si>
  <si>
    <t>TC-SCH-004</t>
  </si>
  <si>
    <t>Esecuzione corretta job Mail</t>
  </si>
  <si>
    <t>Script PowerShell mail presente</t>
  </si>
  <si>
    <t>Endpoint mail invocato; log creato</t>
  </si>
  <si>
    <t>TC-SCH-005</t>
  </si>
  <si>
    <t>Esecuzione concorrente</t>
  </si>
  <si>
    <t>Task non deve sovrapporsi alla stessa istanza</t>
  </si>
  <si>
    <t>Avviare due esecuzioni ravvicinate</t>
  </si>
  <si>
    <t>Nessun conflitto o duplicazione; comportamento scheduler conforme</t>
  </si>
  <si>
    <t>TC-SCH-006</t>
  </si>
  <si>
    <t>Retry automatico ciclo successivo</t>
  </si>
  <si>
    <t>Errore temporaneo su DB/FTP/FS</t>
  </si>
  <si>
    <t>Simulare errore e poi ripristinare</t>
  </si>
  <si>
    <t>Attendere ciclo successivo</t>
  </si>
  <si>
    <t>Processo riprende correttamente dal filesystem/DB</t>
  </si>
  <si>
    <t>TI-001</t>
  </si>
  <si>
    <t>Integrazione</t>
  </si>
  <si>
    <t>Flusso completo nominale</t>
  </si>
  <si>
    <t>Ambiente completo disponibile</t>
  </si>
  <si>
    <t>Record DB valido, FTPS raggiungibile, email esito disponibile</t>
  </si>
  <si>
    <t>Eseguire export → zip → ftp → mail</t>
  </si>
  <si>
    <t>Lotto raggiunge stato ELABORATO; file in Inviati; log DB coerenti</t>
  </si>
  <si>
    <t>TI-002</t>
  </si>
  <si>
    <t>Flusso con errore FTP e retry</t>
  </si>
  <si>
    <t>ZIP creato; FTPS temporaneamente non disponibile</t>
  </si>
  <si>
    <t>Disabilitare FTPS durante primo invio</t>
  </si>
  <si>
    <t>Eseguire ftp; ripristinare FTPS; rieseguire</t>
  </si>
  <si>
    <t>Primo ciclo errore; secondo ciclo invia correttamente senza duplicazioni</t>
  </si>
  <si>
    <t>TI-003</t>
  </si>
  <si>
    <t>Email esito ritardata</t>
  </si>
  <si>
    <t>Lotto inviato ma nessuna email immediata</t>
  </si>
  <si>
    <t>Postel invia esito successivamente</t>
  </si>
  <si>
    <t>Eseguire mail prima e dopo arrivo email</t>
  </si>
  <si>
    <t>Prima run senza aggiornamento; seconda run aggiorna stato</t>
  </si>
  <si>
    <t>TI-004</t>
  </si>
  <si>
    <t>Pipeline con più gruppi FR/FF</t>
  </si>
  <si>
    <t>PDF appartenenti a più gruppi</t>
  </si>
  <si>
    <t>Dataset misto FR_C1, FR_C2, FF_C1</t>
  </si>
  <si>
    <t>Eseguire flusso completo</t>
  </si>
  <si>
    <t>ZIP separati per gruppo; invio e stati coerenti per ogni lotto</t>
  </si>
  <si>
    <t>Riepilogo Test SeiPDF</t>
  </si>
  <si>
    <t>Metrica</t>
  </si>
  <si>
    <t>Formula</t>
  </si>
  <si>
    <t>Valore</t>
  </si>
  <si>
    <t>Totale test</t>
  </si>
  <si>
    <t>Test OK</t>
  </si>
  <si>
    <t>Test KO</t>
  </si>
  <si>
    <t>Bloccati</t>
  </si>
  <si>
    <t>% completamento</t>
  </si>
  <si>
    <t>OK / Totale test</t>
  </si>
  <si>
    <t>Totale</t>
  </si>
  <si>
    <t>OK</t>
  </si>
  <si>
    <t>KO</t>
  </si>
  <si>
    <t>Istruzioni di utilizzo</t>
  </si>
  <si>
    <t>1. Usare il foglio 'Test Cases' per eseguire e documentare i test.</t>
  </si>
  <si>
    <t>2. Filtrare per categoria, priorità o stato tramite i filtri nella prima riga.</t>
  </si>
  <si>
    <t>3. Compilare 'Esito effettivo', 'Stato', 'Data esecuzione', 'Tester' e 'Note'.</t>
  </si>
  <si>
    <t>4. Il campo 'Stato' usa dropdown con: Da eseguire, OK, KO, Bloccato, Non applicabile.</t>
  </si>
  <si>
    <t>5. I colori automatici evidenziano priorità e stato.</t>
  </si>
  <si>
    <t>6. Il foglio 'Riepilogo' contiene conteggi automatici per monitorare l'avanzamento.</t>
  </si>
  <si>
    <t>Conforme</t>
  </si>
  <si>
    <t>Francesco Matraxia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</si>
</sst>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6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3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0" fillId="0" borderId="0" xfId="0"/>
  </cellXfs>
  <cellStyles count="1">
    <cellStyle name="Normale" xfId="0" builtinId="0"/>
  </cellStyles>
  <dxfs count="10">
    <dxf>
      <fill>
        <patternFill patternType="solid">
          <fgColor rgb="FFC6EFCE"/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showGridLines="0" tabSelected="1" workbookViewId="0">
      <pane ySplit="1" topLeftCell="A2" activePane="bottomLeft" state="frozen"/>
      <selection pane="bottomLeft" activeCell="M49" sqref="M49"/>
    </sheetView>
  </sheetViews>
  <sheetFormatPr defaultRowHeight="14.4" x14ac:dyDescent="0.3"/>
  <cols>
    <col min="1" max="1" width="14" customWidth="1"/>
    <col min="2" max="2" width="16" customWidth="1"/>
    <col min="3" max="3" width="12" customWidth="1"/>
    <col min="4" max="4" width="34" customWidth="1"/>
    <col min="5" max="5" width="42" customWidth="1"/>
    <col min="6" max="6" width="36" customWidth="1"/>
    <col min="7" max="7" width="44" customWidth="1"/>
    <col min="8" max="8" width="48" customWidth="1"/>
    <col min="9" max="9" width="34" customWidth="1"/>
    <col min="10" max="10" width="12" customWidth="1"/>
    <col min="11" max="11" width="16" customWidth="1"/>
    <col min="12" max="12" width="18" customWidth="1"/>
    <col min="13" max="13" width="3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354</v>
      </c>
      <c r="J2" s="3" t="s">
        <v>345</v>
      </c>
      <c r="K2" s="4">
        <v>46055</v>
      </c>
      <c r="L2" s="3" t="s">
        <v>355</v>
      </c>
      <c r="M2" s="3"/>
    </row>
    <row r="3" spans="1:13" ht="28.8" x14ac:dyDescent="0.3">
      <c r="A3" s="2" t="s">
        <v>22</v>
      </c>
      <c r="B3" s="3" t="s">
        <v>14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354</v>
      </c>
      <c r="J3" s="3" t="s">
        <v>345</v>
      </c>
      <c r="K3" s="4">
        <v>46055</v>
      </c>
      <c r="L3" s="3" t="s">
        <v>355</v>
      </c>
      <c r="M3" s="3"/>
    </row>
    <row r="4" spans="1:13" ht="28.8" x14ac:dyDescent="0.3">
      <c r="A4" s="2" t="s">
        <v>29</v>
      </c>
      <c r="B4" s="3" t="s">
        <v>14</v>
      </c>
      <c r="C4" s="3" t="s">
        <v>15</v>
      </c>
      <c r="D4" s="3" t="s">
        <v>30</v>
      </c>
      <c r="E4" s="3" t="s">
        <v>31</v>
      </c>
      <c r="F4" s="3" t="s">
        <v>32</v>
      </c>
      <c r="G4" s="3" t="s">
        <v>27</v>
      </c>
      <c r="H4" s="3" t="s">
        <v>33</v>
      </c>
      <c r="I4" s="3" t="s">
        <v>354</v>
      </c>
      <c r="J4" s="3" t="s">
        <v>345</v>
      </c>
      <c r="K4" s="4">
        <v>46055</v>
      </c>
      <c r="L4" s="3" t="s">
        <v>355</v>
      </c>
      <c r="M4" s="3"/>
    </row>
    <row r="5" spans="1:13" ht="28.8" x14ac:dyDescent="0.3">
      <c r="A5" s="2" t="s">
        <v>34</v>
      </c>
      <c r="B5" s="3" t="s">
        <v>14</v>
      </c>
      <c r="C5" s="3" t="s">
        <v>23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354</v>
      </c>
      <c r="J5" s="3" t="s">
        <v>345</v>
      </c>
      <c r="K5" s="4">
        <v>46055</v>
      </c>
      <c r="L5" s="3" t="s">
        <v>355</v>
      </c>
      <c r="M5" s="3"/>
    </row>
    <row r="6" spans="1:13" ht="28.8" x14ac:dyDescent="0.3">
      <c r="A6" s="2" t="s">
        <v>40</v>
      </c>
      <c r="B6" s="3" t="s">
        <v>14</v>
      </c>
      <c r="C6" s="3" t="s">
        <v>15</v>
      </c>
      <c r="D6" s="3" t="s">
        <v>41</v>
      </c>
      <c r="E6" s="3" t="s">
        <v>42</v>
      </c>
      <c r="F6" s="3" t="s">
        <v>43</v>
      </c>
      <c r="G6" s="3" t="s">
        <v>27</v>
      </c>
      <c r="H6" s="3" t="s">
        <v>44</v>
      </c>
      <c r="I6" s="3" t="s">
        <v>354</v>
      </c>
      <c r="J6" s="3" t="s">
        <v>345</v>
      </c>
      <c r="K6" s="4">
        <v>46055</v>
      </c>
      <c r="L6" s="3" t="s">
        <v>355</v>
      </c>
      <c r="M6" s="3"/>
    </row>
    <row r="7" spans="1:13" ht="28.8" x14ac:dyDescent="0.3">
      <c r="A7" s="2" t="s">
        <v>45</v>
      </c>
      <c r="B7" s="3" t="s">
        <v>14</v>
      </c>
      <c r="C7" s="3" t="s">
        <v>23</v>
      </c>
      <c r="D7" s="3" t="s">
        <v>46</v>
      </c>
      <c r="E7" s="3" t="s">
        <v>47</v>
      </c>
      <c r="F7" s="3" t="s">
        <v>48</v>
      </c>
      <c r="G7" s="3" t="s">
        <v>27</v>
      </c>
      <c r="H7" s="3" t="s">
        <v>49</v>
      </c>
      <c r="I7" s="3" t="s">
        <v>354</v>
      </c>
      <c r="J7" s="3" t="s">
        <v>345</v>
      </c>
      <c r="K7" s="4">
        <v>46055</v>
      </c>
      <c r="L7" s="3" t="s">
        <v>355</v>
      </c>
      <c r="M7" s="3"/>
    </row>
    <row r="8" spans="1:13" ht="28.8" x14ac:dyDescent="0.3">
      <c r="A8" s="2" t="s">
        <v>50</v>
      </c>
      <c r="B8" s="3" t="s">
        <v>14</v>
      </c>
      <c r="C8" s="3" t="s">
        <v>23</v>
      </c>
      <c r="D8" s="3" t="s">
        <v>51</v>
      </c>
      <c r="E8" s="3" t="s">
        <v>52</v>
      </c>
      <c r="F8" s="3" t="s">
        <v>53</v>
      </c>
      <c r="G8" s="3" t="s">
        <v>27</v>
      </c>
      <c r="H8" s="3" t="s">
        <v>54</v>
      </c>
      <c r="I8" s="3" t="s">
        <v>354</v>
      </c>
      <c r="J8" s="3" t="s">
        <v>345</v>
      </c>
      <c r="K8" s="4">
        <v>46055</v>
      </c>
      <c r="L8" s="3" t="s">
        <v>355</v>
      </c>
      <c r="M8" s="3"/>
    </row>
    <row r="9" spans="1:13" ht="28.8" x14ac:dyDescent="0.3">
      <c r="A9" s="2" t="s">
        <v>55</v>
      </c>
      <c r="B9" s="3" t="s">
        <v>14</v>
      </c>
      <c r="C9" s="3" t="s">
        <v>15</v>
      </c>
      <c r="D9" s="3" t="s">
        <v>56</v>
      </c>
      <c r="E9" s="3" t="s">
        <v>57</v>
      </c>
      <c r="F9" s="3" t="s">
        <v>58</v>
      </c>
      <c r="G9" s="3" t="s">
        <v>27</v>
      </c>
      <c r="H9" s="3" t="s">
        <v>59</v>
      </c>
      <c r="I9" s="3" t="s">
        <v>354</v>
      </c>
      <c r="J9" s="3" t="s">
        <v>345</v>
      </c>
      <c r="K9" s="4">
        <v>46055</v>
      </c>
      <c r="L9" s="3" t="s">
        <v>355</v>
      </c>
      <c r="M9" s="3"/>
    </row>
    <row r="10" spans="1:13" ht="28.8" x14ac:dyDescent="0.3">
      <c r="A10" s="2" t="s">
        <v>60</v>
      </c>
      <c r="B10" s="3" t="s">
        <v>61</v>
      </c>
      <c r="C10" s="3" t="s">
        <v>15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354</v>
      </c>
      <c r="J10" s="3" t="s">
        <v>345</v>
      </c>
      <c r="K10" s="4">
        <v>46055</v>
      </c>
      <c r="L10" s="3" t="s">
        <v>355</v>
      </c>
      <c r="M10" s="3"/>
    </row>
    <row r="11" spans="1:13" ht="28.8" x14ac:dyDescent="0.3">
      <c r="A11" s="2" t="s">
        <v>67</v>
      </c>
      <c r="B11" s="3" t="s">
        <v>61</v>
      </c>
      <c r="C11" s="3" t="s">
        <v>15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354</v>
      </c>
      <c r="J11" s="3" t="s">
        <v>345</v>
      </c>
      <c r="K11" s="4">
        <v>46055</v>
      </c>
      <c r="L11" s="3" t="s">
        <v>355</v>
      </c>
      <c r="M11" s="3"/>
    </row>
    <row r="12" spans="1:13" x14ac:dyDescent="0.3">
      <c r="A12" s="2" t="s">
        <v>73</v>
      </c>
      <c r="B12" s="3" t="s">
        <v>61</v>
      </c>
      <c r="C12" s="3" t="s">
        <v>23</v>
      </c>
      <c r="D12" s="3" t="s">
        <v>74</v>
      </c>
      <c r="E12" s="3" t="s">
        <v>75</v>
      </c>
      <c r="F12" s="3" t="s">
        <v>76</v>
      </c>
      <c r="G12" s="3" t="s">
        <v>71</v>
      </c>
      <c r="H12" s="3" t="s">
        <v>77</v>
      </c>
      <c r="I12" s="3" t="s">
        <v>354</v>
      </c>
      <c r="J12" s="3" t="s">
        <v>345</v>
      </c>
      <c r="K12" s="4">
        <v>46055</v>
      </c>
      <c r="L12" s="3" t="s">
        <v>355</v>
      </c>
      <c r="M12" s="3"/>
    </row>
    <row r="13" spans="1:13" ht="28.8" x14ac:dyDescent="0.3">
      <c r="A13" s="2" t="s">
        <v>78</v>
      </c>
      <c r="B13" s="3" t="s">
        <v>61</v>
      </c>
      <c r="C13" s="3" t="s">
        <v>15</v>
      </c>
      <c r="D13" s="3" t="s">
        <v>79</v>
      </c>
      <c r="E13" s="3" t="s">
        <v>80</v>
      </c>
      <c r="F13" s="3" t="s">
        <v>81</v>
      </c>
      <c r="G13" s="3" t="s">
        <v>71</v>
      </c>
      <c r="H13" s="3" t="s">
        <v>82</v>
      </c>
      <c r="I13" s="3" t="s">
        <v>354</v>
      </c>
      <c r="J13" s="3" t="s">
        <v>345</v>
      </c>
      <c r="K13" s="4">
        <v>46055</v>
      </c>
      <c r="L13" s="3" t="s">
        <v>355</v>
      </c>
      <c r="M13" s="3"/>
    </row>
    <row r="14" spans="1:13" x14ac:dyDescent="0.3">
      <c r="A14" s="2" t="s">
        <v>83</v>
      </c>
      <c r="B14" s="3" t="s">
        <v>61</v>
      </c>
      <c r="C14" s="3" t="s">
        <v>15</v>
      </c>
      <c r="D14" s="3" t="s">
        <v>84</v>
      </c>
      <c r="E14" s="3" t="s">
        <v>85</v>
      </c>
      <c r="F14" s="3" t="s">
        <v>86</v>
      </c>
      <c r="G14" s="3" t="s">
        <v>71</v>
      </c>
      <c r="H14" s="3" t="s">
        <v>87</v>
      </c>
      <c r="I14" s="3" t="s">
        <v>354</v>
      </c>
      <c r="J14" s="3" t="s">
        <v>345</v>
      </c>
      <c r="K14" s="4">
        <v>46055</v>
      </c>
      <c r="L14" s="3" t="s">
        <v>355</v>
      </c>
      <c r="M14" s="3"/>
    </row>
    <row r="15" spans="1:13" ht="28.8" x14ac:dyDescent="0.3">
      <c r="A15" s="2" t="s">
        <v>88</v>
      </c>
      <c r="B15" s="3" t="s">
        <v>61</v>
      </c>
      <c r="C15" s="3" t="s">
        <v>15</v>
      </c>
      <c r="D15" s="3" t="s">
        <v>89</v>
      </c>
      <c r="E15" s="3" t="s">
        <v>90</v>
      </c>
      <c r="F15" s="3" t="s">
        <v>91</v>
      </c>
      <c r="G15" s="3" t="s">
        <v>71</v>
      </c>
      <c r="H15" s="3" t="s">
        <v>92</v>
      </c>
      <c r="I15" s="3" t="s">
        <v>354</v>
      </c>
      <c r="J15" s="3" t="s">
        <v>345</v>
      </c>
      <c r="K15" s="4">
        <v>46055</v>
      </c>
      <c r="L15" s="3" t="s">
        <v>355</v>
      </c>
      <c r="M15" s="3"/>
    </row>
    <row r="16" spans="1:13" ht="28.8" x14ac:dyDescent="0.3">
      <c r="A16" s="2" t="s">
        <v>93</v>
      </c>
      <c r="B16" s="3" t="s">
        <v>61</v>
      </c>
      <c r="C16" s="3" t="s">
        <v>15</v>
      </c>
      <c r="D16" s="3" t="s">
        <v>94</v>
      </c>
      <c r="E16" s="3" t="s">
        <v>95</v>
      </c>
      <c r="F16" s="3" t="s">
        <v>96</v>
      </c>
      <c r="G16" s="3" t="s">
        <v>71</v>
      </c>
      <c r="H16" s="3" t="s">
        <v>97</v>
      </c>
      <c r="I16" s="3" t="s">
        <v>354</v>
      </c>
      <c r="J16" s="3" t="s">
        <v>345</v>
      </c>
      <c r="K16" s="4">
        <v>46055</v>
      </c>
      <c r="L16" s="3" t="s">
        <v>355</v>
      </c>
      <c r="M16" s="3"/>
    </row>
    <row r="17" spans="1:13" x14ac:dyDescent="0.3">
      <c r="A17" s="2" t="s">
        <v>98</v>
      </c>
      <c r="B17" s="3" t="s">
        <v>61</v>
      </c>
      <c r="C17" s="3" t="s">
        <v>15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103</v>
      </c>
      <c r="I17" s="3" t="s">
        <v>354</v>
      </c>
      <c r="J17" s="3" t="s">
        <v>345</v>
      </c>
      <c r="K17" s="4">
        <v>46055</v>
      </c>
      <c r="L17" s="3" t="s">
        <v>355</v>
      </c>
      <c r="M17" s="3"/>
    </row>
    <row r="18" spans="1:13" x14ac:dyDescent="0.3">
      <c r="A18" s="2" t="s">
        <v>104</v>
      </c>
      <c r="B18" s="3" t="s">
        <v>61</v>
      </c>
      <c r="C18" s="3" t="s">
        <v>15</v>
      </c>
      <c r="D18" s="3" t="s">
        <v>105</v>
      </c>
      <c r="E18" s="3" t="s">
        <v>106</v>
      </c>
      <c r="F18" s="3" t="s">
        <v>107</v>
      </c>
      <c r="G18" s="3" t="s">
        <v>108</v>
      </c>
      <c r="H18" s="3" t="s">
        <v>109</v>
      </c>
      <c r="I18" s="3" t="s">
        <v>354</v>
      </c>
      <c r="J18" s="3" t="s">
        <v>345</v>
      </c>
      <c r="K18" s="4">
        <v>46055</v>
      </c>
      <c r="L18" s="3" t="s">
        <v>355</v>
      </c>
      <c r="M18" s="3"/>
    </row>
    <row r="19" spans="1:13" ht="28.8" x14ac:dyDescent="0.3">
      <c r="A19" s="2" t="s">
        <v>110</v>
      </c>
      <c r="B19" s="3" t="s">
        <v>61</v>
      </c>
      <c r="C19" s="3" t="s">
        <v>23</v>
      </c>
      <c r="D19" s="3" t="s">
        <v>111</v>
      </c>
      <c r="E19" s="3" t="s">
        <v>112</v>
      </c>
      <c r="F19" s="3" t="s">
        <v>113</v>
      </c>
      <c r="G19" s="3" t="s">
        <v>71</v>
      </c>
      <c r="H19" s="3" t="s">
        <v>114</v>
      </c>
      <c r="I19" s="3" t="s">
        <v>354</v>
      </c>
      <c r="J19" s="3" t="s">
        <v>345</v>
      </c>
      <c r="K19" s="4">
        <v>46055</v>
      </c>
      <c r="L19" s="3" t="s">
        <v>355</v>
      </c>
      <c r="M19" s="3"/>
    </row>
    <row r="20" spans="1:13" ht="28.8" x14ac:dyDescent="0.3">
      <c r="A20" s="2" t="s">
        <v>115</v>
      </c>
      <c r="B20" s="3" t="s">
        <v>61</v>
      </c>
      <c r="C20" s="3" t="s">
        <v>23</v>
      </c>
      <c r="D20" s="3" t="s">
        <v>116</v>
      </c>
      <c r="E20" s="3" t="s">
        <v>117</v>
      </c>
      <c r="F20" s="3" t="s">
        <v>118</v>
      </c>
      <c r="G20" s="3" t="s">
        <v>71</v>
      </c>
      <c r="H20" s="3" t="s">
        <v>119</v>
      </c>
      <c r="I20" s="3" t="s">
        <v>354</v>
      </c>
      <c r="J20" s="3" t="s">
        <v>345</v>
      </c>
      <c r="K20" s="4">
        <v>46055</v>
      </c>
      <c r="L20" s="3" t="s">
        <v>355</v>
      </c>
      <c r="M20" s="3"/>
    </row>
    <row r="21" spans="1:13" ht="28.8" x14ac:dyDescent="0.3">
      <c r="A21" s="2" t="s">
        <v>120</v>
      </c>
      <c r="B21" s="3" t="s">
        <v>61</v>
      </c>
      <c r="C21" s="3" t="s">
        <v>23</v>
      </c>
      <c r="D21" s="3" t="s">
        <v>121</v>
      </c>
      <c r="E21" s="3" t="s">
        <v>122</v>
      </c>
      <c r="F21" s="3" t="s">
        <v>123</v>
      </c>
      <c r="G21" s="3" t="s">
        <v>71</v>
      </c>
      <c r="H21" s="3" t="s">
        <v>124</v>
      </c>
      <c r="I21" s="3" t="s">
        <v>354</v>
      </c>
      <c r="J21" s="3" t="s">
        <v>345</v>
      </c>
      <c r="K21" s="4">
        <v>46055</v>
      </c>
      <c r="L21" s="3" t="s">
        <v>355</v>
      </c>
      <c r="M21" s="3"/>
    </row>
    <row r="22" spans="1:13" ht="28.8" x14ac:dyDescent="0.3">
      <c r="A22" s="2" t="s">
        <v>125</v>
      </c>
      <c r="B22" s="3" t="s">
        <v>126</v>
      </c>
      <c r="C22" s="3" t="s">
        <v>15</v>
      </c>
      <c r="D22" s="3" t="s">
        <v>127</v>
      </c>
      <c r="E22" s="3" t="s">
        <v>128</v>
      </c>
      <c r="F22" s="3" t="s">
        <v>129</v>
      </c>
      <c r="G22" s="3" t="s">
        <v>130</v>
      </c>
      <c r="H22" s="3" t="s">
        <v>131</v>
      </c>
      <c r="I22" s="3" t="s">
        <v>354</v>
      </c>
      <c r="J22" s="3" t="s">
        <v>345</v>
      </c>
      <c r="K22" s="4">
        <v>46055</v>
      </c>
      <c r="L22" s="3" t="s">
        <v>355</v>
      </c>
      <c r="M22" s="3"/>
    </row>
    <row r="23" spans="1:13" ht="28.8" x14ac:dyDescent="0.3">
      <c r="A23" s="2" t="s">
        <v>132</v>
      </c>
      <c r="B23" s="3" t="s">
        <v>126</v>
      </c>
      <c r="C23" s="3" t="s">
        <v>15</v>
      </c>
      <c r="D23" s="3" t="s">
        <v>133</v>
      </c>
      <c r="E23" s="3" t="s">
        <v>134</v>
      </c>
      <c r="F23" s="3" t="s">
        <v>135</v>
      </c>
      <c r="G23" s="3" t="s">
        <v>136</v>
      </c>
      <c r="H23" s="3" t="s">
        <v>137</v>
      </c>
      <c r="I23" s="3" t="s">
        <v>354</v>
      </c>
      <c r="J23" s="3" t="s">
        <v>345</v>
      </c>
      <c r="K23" s="4">
        <v>46055</v>
      </c>
      <c r="L23" s="3" t="s">
        <v>355</v>
      </c>
      <c r="M23" s="3"/>
    </row>
    <row r="24" spans="1:13" ht="28.8" x14ac:dyDescent="0.3">
      <c r="A24" s="2" t="s">
        <v>138</v>
      </c>
      <c r="B24" s="3" t="s">
        <v>126</v>
      </c>
      <c r="C24" s="3" t="s">
        <v>15</v>
      </c>
      <c r="D24" s="3" t="s">
        <v>139</v>
      </c>
      <c r="E24" s="3" t="s">
        <v>140</v>
      </c>
      <c r="F24" s="3" t="s">
        <v>141</v>
      </c>
      <c r="G24" s="3" t="s">
        <v>136</v>
      </c>
      <c r="H24" s="3" t="s">
        <v>142</v>
      </c>
      <c r="I24" s="3" t="s">
        <v>354</v>
      </c>
      <c r="J24" s="3" t="s">
        <v>345</v>
      </c>
      <c r="K24" s="4">
        <v>46055</v>
      </c>
      <c r="L24" s="3" t="s">
        <v>355</v>
      </c>
      <c r="M24" s="3"/>
    </row>
    <row r="25" spans="1:13" x14ac:dyDescent="0.3">
      <c r="A25" s="2" t="s">
        <v>143</v>
      </c>
      <c r="B25" s="3" t="s">
        <v>126</v>
      </c>
      <c r="C25" s="3" t="s">
        <v>23</v>
      </c>
      <c r="D25" s="3" t="s">
        <v>144</v>
      </c>
      <c r="E25" s="3" t="s">
        <v>145</v>
      </c>
      <c r="F25" s="3" t="s">
        <v>146</v>
      </c>
      <c r="G25" s="3" t="s">
        <v>136</v>
      </c>
      <c r="H25" s="3" t="s">
        <v>147</v>
      </c>
      <c r="I25" s="3"/>
      <c r="J25" s="3" t="s">
        <v>345</v>
      </c>
      <c r="K25" s="4">
        <v>46055</v>
      </c>
      <c r="L25" s="3" t="s">
        <v>355</v>
      </c>
      <c r="M25" s="3"/>
    </row>
    <row r="26" spans="1:13" ht="28.8" x14ac:dyDescent="0.3">
      <c r="A26" s="2" t="s">
        <v>148</v>
      </c>
      <c r="B26" s="3" t="s">
        <v>126</v>
      </c>
      <c r="C26" s="3" t="s">
        <v>15</v>
      </c>
      <c r="D26" s="3" t="s">
        <v>149</v>
      </c>
      <c r="E26" s="3" t="s">
        <v>150</v>
      </c>
      <c r="F26" s="3" t="s">
        <v>151</v>
      </c>
      <c r="G26" s="3" t="s">
        <v>136</v>
      </c>
      <c r="H26" s="3" t="s">
        <v>152</v>
      </c>
      <c r="I26" s="3" t="s">
        <v>354</v>
      </c>
      <c r="J26" s="3" t="s">
        <v>345</v>
      </c>
      <c r="K26" s="4">
        <v>46055</v>
      </c>
      <c r="L26" s="3" t="s">
        <v>355</v>
      </c>
      <c r="M26" s="3"/>
    </row>
    <row r="27" spans="1:13" x14ac:dyDescent="0.3">
      <c r="A27" s="2" t="s">
        <v>153</v>
      </c>
      <c r="B27" s="3" t="s">
        <v>126</v>
      </c>
      <c r="C27" s="3" t="s">
        <v>23</v>
      </c>
      <c r="D27" s="3" t="s">
        <v>154</v>
      </c>
      <c r="E27" s="3" t="s">
        <v>155</v>
      </c>
      <c r="F27" s="3" t="s">
        <v>156</v>
      </c>
      <c r="G27" s="3" t="s">
        <v>136</v>
      </c>
      <c r="H27" s="3" t="s">
        <v>157</v>
      </c>
      <c r="I27" s="3" t="s">
        <v>354</v>
      </c>
      <c r="J27" s="3" t="s">
        <v>345</v>
      </c>
      <c r="K27" s="4">
        <v>46055</v>
      </c>
      <c r="L27" s="3" t="s">
        <v>355</v>
      </c>
      <c r="M27" s="3"/>
    </row>
    <row r="28" spans="1:13" x14ac:dyDescent="0.3">
      <c r="A28" s="2" t="s">
        <v>158</v>
      </c>
      <c r="B28" s="3" t="s">
        <v>126</v>
      </c>
      <c r="C28" s="3" t="s">
        <v>23</v>
      </c>
      <c r="D28" s="3" t="s">
        <v>159</v>
      </c>
      <c r="E28" s="3" t="s">
        <v>160</v>
      </c>
      <c r="F28" s="3" t="s">
        <v>161</v>
      </c>
      <c r="G28" s="3" t="s">
        <v>162</v>
      </c>
      <c r="H28" s="3" t="s">
        <v>163</v>
      </c>
      <c r="I28" s="3" t="s">
        <v>354</v>
      </c>
      <c r="J28" s="3" t="s">
        <v>345</v>
      </c>
      <c r="K28" s="4">
        <v>46055</v>
      </c>
      <c r="L28" s="3" t="s">
        <v>355</v>
      </c>
      <c r="M28" s="3"/>
    </row>
    <row r="29" spans="1:13" x14ac:dyDescent="0.3">
      <c r="A29" s="2" t="s">
        <v>164</v>
      </c>
      <c r="B29" s="3" t="s">
        <v>126</v>
      </c>
      <c r="C29" s="3" t="s">
        <v>23</v>
      </c>
      <c r="D29" s="3" t="s">
        <v>165</v>
      </c>
      <c r="E29" s="3" t="s">
        <v>166</v>
      </c>
      <c r="F29" s="3" t="s">
        <v>167</v>
      </c>
      <c r="G29" s="3" t="s">
        <v>168</v>
      </c>
      <c r="H29" s="3" t="s">
        <v>169</v>
      </c>
      <c r="I29" s="3" t="s">
        <v>354</v>
      </c>
      <c r="J29" s="3" t="s">
        <v>345</v>
      </c>
      <c r="K29" s="4">
        <v>46055</v>
      </c>
      <c r="L29" s="3" t="s">
        <v>355</v>
      </c>
      <c r="M29" s="3"/>
    </row>
    <row r="30" spans="1:13" ht="28.8" x14ac:dyDescent="0.3">
      <c r="A30" s="2" t="s">
        <v>170</v>
      </c>
      <c r="B30" s="3" t="s">
        <v>126</v>
      </c>
      <c r="C30" s="3" t="s">
        <v>15</v>
      </c>
      <c r="D30" s="3" t="s">
        <v>171</v>
      </c>
      <c r="E30" s="3" t="s">
        <v>172</v>
      </c>
      <c r="F30" s="3" t="s">
        <v>173</v>
      </c>
      <c r="G30" s="3" t="s">
        <v>136</v>
      </c>
      <c r="H30" s="3" t="s">
        <v>174</v>
      </c>
      <c r="I30" s="3" t="s">
        <v>354</v>
      </c>
      <c r="J30" s="3" t="s">
        <v>345</v>
      </c>
      <c r="K30" s="4">
        <v>46055</v>
      </c>
      <c r="L30" s="3" t="s">
        <v>355</v>
      </c>
      <c r="M30" s="3"/>
    </row>
    <row r="31" spans="1:13" ht="28.8" x14ac:dyDescent="0.3">
      <c r="A31" s="2" t="s">
        <v>175</v>
      </c>
      <c r="B31" s="3" t="s">
        <v>126</v>
      </c>
      <c r="C31" s="3" t="s">
        <v>15</v>
      </c>
      <c r="D31" s="3" t="s">
        <v>176</v>
      </c>
      <c r="E31" s="3" t="s">
        <v>172</v>
      </c>
      <c r="F31" s="3" t="s">
        <v>177</v>
      </c>
      <c r="G31" s="3" t="s">
        <v>178</v>
      </c>
      <c r="H31" s="3" t="s">
        <v>179</v>
      </c>
      <c r="I31" s="3" t="s">
        <v>354</v>
      </c>
      <c r="J31" s="3" t="s">
        <v>345</v>
      </c>
      <c r="K31" s="4">
        <v>46055</v>
      </c>
      <c r="L31" s="3" t="s">
        <v>355</v>
      </c>
      <c r="M31" s="3"/>
    </row>
    <row r="32" spans="1:13" ht="28.8" x14ac:dyDescent="0.3">
      <c r="A32" s="2" t="s">
        <v>180</v>
      </c>
      <c r="B32" s="3" t="s">
        <v>126</v>
      </c>
      <c r="C32" s="3" t="s">
        <v>23</v>
      </c>
      <c r="D32" s="3" t="s">
        <v>181</v>
      </c>
      <c r="E32" s="3" t="s">
        <v>182</v>
      </c>
      <c r="F32" s="3" t="s">
        <v>183</v>
      </c>
      <c r="G32" s="3" t="s">
        <v>136</v>
      </c>
      <c r="H32" s="3" t="s">
        <v>184</v>
      </c>
      <c r="I32" s="3" t="s">
        <v>354</v>
      </c>
      <c r="J32" s="3" t="s">
        <v>345</v>
      </c>
      <c r="K32" s="4">
        <v>46055</v>
      </c>
      <c r="L32" s="3" t="s">
        <v>355</v>
      </c>
      <c r="M32" s="3"/>
    </row>
    <row r="33" spans="1:13" ht="28.8" x14ac:dyDescent="0.3">
      <c r="A33" s="2" t="s">
        <v>185</v>
      </c>
      <c r="B33" s="3" t="s">
        <v>186</v>
      </c>
      <c r="C33" s="3" t="s">
        <v>15</v>
      </c>
      <c r="D33" s="3" t="s">
        <v>187</v>
      </c>
      <c r="E33" s="3" t="s">
        <v>188</v>
      </c>
      <c r="F33" s="3" t="s">
        <v>189</v>
      </c>
      <c r="G33" s="3" t="s">
        <v>190</v>
      </c>
      <c r="H33" s="3" t="s">
        <v>191</v>
      </c>
      <c r="I33" s="3" t="s">
        <v>354</v>
      </c>
      <c r="J33" s="3" t="s">
        <v>345</v>
      </c>
      <c r="K33" s="4">
        <v>46055</v>
      </c>
      <c r="L33" s="3" t="s">
        <v>355</v>
      </c>
      <c r="M33" s="3"/>
    </row>
    <row r="34" spans="1:13" ht="28.8" x14ac:dyDescent="0.3">
      <c r="A34" s="2" t="s">
        <v>192</v>
      </c>
      <c r="B34" s="3" t="s">
        <v>186</v>
      </c>
      <c r="C34" s="3" t="s">
        <v>23</v>
      </c>
      <c r="D34" s="3" t="s">
        <v>193</v>
      </c>
      <c r="E34" s="3" t="s">
        <v>194</v>
      </c>
      <c r="F34" s="3" t="s">
        <v>195</v>
      </c>
      <c r="G34" s="3" t="s">
        <v>196</v>
      </c>
      <c r="H34" s="3" t="s">
        <v>197</v>
      </c>
      <c r="I34" s="3" t="s">
        <v>354</v>
      </c>
      <c r="J34" s="3" t="s">
        <v>345</v>
      </c>
      <c r="K34" s="4">
        <v>46055</v>
      </c>
      <c r="L34" s="3" t="s">
        <v>355</v>
      </c>
      <c r="M34" s="3"/>
    </row>
    <row r="35" spans="1:13" ht="28.8" x14ac:dyDescent="0.3">
      <c r="A35" s="2" t="s">
        <v>198</v>
      </c>
      <c r="B35" s="3" t="s">
        <v>186</v>
      </c>
      <c r="C35" s="3" t="s">
        <v>23</v>
      </c>
      <c r="D35" s="3" t="s">
        <v>199</v>
      </c>
      <c r="E35" s="3" t="s">
        <v>200</v>
      </c>
      <c r="F35" s="3" t="s">
        <v>201</v>
      </c>
      <c r="G35" s="3" t="s">
        <v>196</v>
      </c>
      <c r="H35" s="3" t="s">
        <v>202</v>
      </c>
      <c r="I35" s="3" t="s">
        <v>354</v>
      </c>
      <c r="J35" s="3" t="s">
        <v>345</v>
      </c>
      <c r="K35" s="4">
        <v>46055</v>
      </c>
      <c r="L35" s="3" t="s">
        <v>355</v>
      </c>
      <c r="M35" s="3"/>
    </row>
    <row r="36" spans="1:13" ht="28.8" x14ac:dyDescent="0.3">
      <c r="A36" s="2" t="s">
        <v>203</v>
      </c>
      <c r="B36" s="3" t="s">
        <v>186</v>
      </c>
      <c r="C36" s="3" t="s">
        <v>15</v>
      </c>
      <c r="D36" s="3" t="s">
        <v>204</v>
      </c>
      <c r="E36" s="3" t="s">
        <v>205</v>
      </c>
      <c r="F36" s="3" t="s">
        <v>206</v>
      </c>
      <c r="G36" s="3" t="s">
        <v>196</v>
      </c>
      <c r="H36" s="3" t="s">
        <v>207</v>
      </c>
      <c r="I36" s="3" t="s">
        <v>354</v>
      </c>
      <c r="J36" s="3" t="s">
        <v>345</v>
      </c>
      <c r="K36" s="4">
        <v>46055</v>
      </c>
      <c r="L36" s="3" t="s">
        <v>355</v>
      </c>
      <c r="M36" s="3"/>
    </row>
    <row r="37" spans="1:13" x14ac:dyDescent="0.3">
      <c r="A37" s="2" t="s">
        <v>208</v>
      </c>
      <c r="B37" s="3" t="s">
        <v>186</v>
      </c>
      <c r="C37" s="3" t="s">
        <v>23</v>
      </c>
      <c r="D37" s="3" t="s">
        <v>209</v>
      </c>
      <c r="E37" s="3" t="s">
        <v>210</v>
      </c>
      <c r="F37" s="3" t="s">
        <v>211</v>
      </c>
      <c r="G37" s="3" t="s">
        <v>196</v>
      </c>
      <c r="H37" s="3" t="s">
        <v>212</v>
      </c>
      <c r="I37" s="3" t="s">
        <v>354</v>
      </c>
      <c r="J37" s="3" t="s">
        <v>345</v>
      </c>
      <c r="K37" s="4">
        <v>46055</v>
      </c>
      <c r="L37" s="3" t="s">
        <v>355</v>
      </c>
      <c r="M37" s="3"/>
    </row>
    <row r="38" spans="1:13" x14ac:dyDescent="0.3">
      <c r="A38" s="2" t="s">
        <v>213</v>
      </c>
      <c r="B38" s="3" t="s">
        <v>186</v>
      </c>
      <c r="C38" s="3" t="s">
        <v>15</v>
      </c>
      <c r="D38" s="3" t="s">
        <v>214</v>
      </c>
      <c r="E38" s="3" t="s">
        <v>215</v>
      </c>
      <c r="F38" s="3" t="s">
        <v>216</v>
      </c>
      <c r="G38" s="3" t="s">
        <v>196</v>
      </c>
      <c r="H38" s="3" t="s">
        <v>217</v>
      </c>
      <c r="I38" s="3" t="s">
        <v>354</v>
      </c>
      <c r="J38" s="3" t="s">
        <v>345</v>
      </c>
      <c r="K38" s="4">
        <v>46055</v>
      </c>
      <c r="L38" s="3" t="s">
        <v>355</v>
      </c>
      <c r="M38" s="3"/>
    </row>
    <row r="39" spans="1:13" x14ac:dyDescent="0.3">
      <c r="A39" s="2" t="s">
        <v>218</v>
      </c>
      <c r="B39" s="3" t="s">
        <v>186</v>
      </c>
      <c r="C39" s="3" t="s">
        <v>15</v>
      </c>
      <c r="D39" s="3" t="s">
        <v>219</v>
      </c>
      <c r="E39" s="3" t="s">
        <v>220</v>
      </c>
      <c r="F39" s="3" t="s">
        <v>216</v>
      </c>
      <c r="G39" s="3" t="s">
        <v>196</v>
      </c>
      <c r="H39" s="3" t="s">
        <v>221</v>
      </c>
      <c r="I39" s="3" t="s">
        <v>354</v>
      </c>
      <c r="J39" s="3" t="s">
        <v>345</v>
      </c>
      <c r="K39" s="4">
        <v>46055</v>
      </c>
      <c r="L39" s="3" t="s">
        <v>355</v>
      </c>
      <c r="M39" s="3"/>
    </row>
    <row r="40" spans="1:13" x14ac:dyDescent="0.3">
      <c r="A40" s="2" t="s">
        <v>222</v>
      </c>
      <c r="B40" s="3" t="s">
        <v>186</v>
      </c>
      <c r="C40" s="3" t="s">
        <v>15</v>
      </c>
      <c r="D40" s="3" t="s">
        <v>223</v>
      </c>
      <c r="E40" s="3" t="s">
        <v>224</v>
      </c>
      <c r="F40" s="3" t="s">
        <v>216</v>
      </c>
      <c r="G40" s="3" t="s">
        <v>196</v>
      </c>
      <c r="H40" s="3" t="s">
        <v>225</v>
      </c>
      <c r="I40" s="3" t="s">
        <v>354</v>
      </c>
      <c r="J40" s="3" t="s">
        <v>345</v>
      </c>
      <c r="K40" s="4">
        <v>46055</v>
      </c>
      <c r="L40" s="3" t="s">
        <v>355</v>
      </c>
      <c r="M40" s="3"/>
    </row>
    <row r="41" spans="1:13" ht="28.8" x14ac:dyDescent="0.3">
      <c r="A41" s="2" t="s">
        <v>226</v>
      </c>
      <c r="B41" s="3" t="s">
        <v>186</v>
      </c>
      <c r="C41" s="3" t="s">
        <v>15</v>
      </c>
      <c r="D41" s="3" t="s">
        <v>227</v>
      </c>
      <c r="E41" s="3" t="s">
        <v>228</v>
      </c>
      <c r="F41" s="3" t="s">
        <v>229</v>
      </c>
      <c r="G41" s="3" t="s">
        <v>196</v>
      </c>
      <c r="H41" s="3" t="s">
        <v>230</v>
      </c>
      <c r="I41" s="3" t="s">
        <v>354</v>
      </c>
      <c r="J41" s="3" t="s">
        <v>345</v>
      </c>
      <c r="K41" s="4">
        <v>46055</v>
      </c>
      <c r="L41" s="3" t="s">
        <v>355</v>
      </c>
      <c r="M41" s="3"/>
    </row>
    <row r="42" spans="1:13" x14ac:dyDescent="0.3">
      <c r="A42" s="2" t="s">
        <v>231</v>
      </c>
      <c r="B42" s="3" t="s">
        <v>186</v>
      </c>
      <c r="C42" s="3" t="s">
        <v>23</v>
      </c>
      <c r="D42" s="3" t="s">
        <v>232</v>
      </c>
      <c r="E42" s="3" t="s">
        <v>233</v>
      </c>
      <c r="F42" s="3" t="s">
        <v>234</v>
      </c>
      <c r="G42" s="3" t="s">
        <v>196</v>
      </c>
      <c r="H42" s="3" t="s">
        <v>235</v>
      </c>
      <c r="I42" s="3" t="s">
        <v>354</v>
      </c>
      <c r="J42" s="3" t="s">
        <v>345</v>
      </c>
      <c r="K42" s="4">
        <v>46055</v>
      </c>
      <c r="L42" s="3" t="s">
        <v>355</v>
      </c>
      <c r="M42" s="3"/>
    </row>
    <row r="43" spans="1:13" ht="28.8" x14ac:dyDescent="0.3">
      <c r="A43" s="2" t="s">
        <v>236</v>
      </c>
      <c r="B43" s="3" t="s">
        <v>237</v>
      </c>
      <c r="C43" s="3" t="s">
        <v>23</v>
      </c>
      <c r="D43" s="3" t="s">
        <v>238</v>
      </c>
      <c r="E43" s="3" t="s">
        <v>239</v>
      </c>
      <c r="F43" s="3" t="s">
        <v>240</v>
      </c>
      <c r="G43" s="3" t="s">
        <v>241</v>
      </c>
      <c r="H43" s="3" t="s">
        <v>242</v>
      </c>
      <c r="I43" s="3" t="s">
        <v>354</v>
      </c>
      <c r="J43" s="3" t="s">
        <v>345</v>
      </c>
      <c r="K43" s="4">
        <v>46055</v>
      </c>
      <c r="L43" s="3" t="s">
        <v>355</v>
      </c>
      <c r="M43" s="3"/>
    </row>
    <row r="44" spans="1:13" ht="28.8" x14ac:dyDescent="0.3">
      <c r="A44" s="2" t="s">
        <v>243</v>
      </c>
      <c r="B44" s="3" t="s">
        <v>237</v>
      </c>
      <c r="C44" s="3" t="s">
        <v>15</v>
      </c>
      <c r="D44" s="3" t="s">
        <v>244</v>
      </c>
      <c r="E44" s="3" t="s">
        <v>245</v>
      </c>
      <c r="F44" s="3" t="s">
        <v>246</v>
      </c>
      <c r="G44" s="3" t="s">
        <v>247</v>
      </c>
      <c r="H44" s="3" t="s">
        <v>248</v>
      </c>
      <c r="I44" s="3" t="s">
        <v>354</v>
      </c>
      <c r="J44" s="3" t="s">
        <v>345</v>
      </c>
      <c r="K44" s="4">
        <v>46055</v>
      </c>
      <c r="L44" s="3" t="s">
        <v>355</v>
      </c>
      <c r="M44" s="3"/>
    </row>
    <row r="45" spans="1:13" ht="28.8" x14ac:dyDescent="0.3">
      <c r="A45" s="2" t="s">
        <v>249</v>
      </c>
      <c r="B45" s="3" t="s">
        <v>237</v>
      </c>
      <c r="C45" s="3" t="s">
        <v>15</v>
      </c>
      <c r="D45" s="3" t="s">
        <v>250</v>
      </c>
      <c r="E45" s="3" t="s">
        <v>251</v>
      </c>
      <c r="F45" s="3" t="s">
        <v>252</v>
      </c>
      <c r="G45" s="3" t="s">
        <v>247</v>
      </c>
      <c r="H45" s="3" t="s">
        <v>253</v>
      </c>
      <c r="I45" s="3" t="s">
        <v>354</v>
      </c>
      <c r="J45" s="3" t="s">
        <v>345</v>
      </c>
      <c r="K45" s="4">
        <v>46055</v>
      </c>
      <c r="L45" s="3" t="s">
        <v>355</v>
      </c>
      <c r="M45" s="3"/>
    </row>
    <row r="46" spans="1:13" ht="28.8" x14ac:dyDescent="0.3">
      <c r="A46" s="2" t="s">
        <v>254</v>
      </c>
      <c r="B46" s="3" t="s">
        <v>255</v>
      </c>
      <c r="C46" s="3" t="s">
        <v>15</v>
      </c>
      <c r="D46" s="3" t="s">
        <v>256</v>
      </c>
      <c r="E46" s="3" t="s">
        <v>257</v>
      </c>
      <c r="F46" s="3" t="s">
        <v>258</v>
      </c>
      <c r="G46" s="3" t="s">
        <v>259</v>
      </c>
      <c r="H46" s="3" t="s">
        <v>260</v>
      </c>
      <c r="I46" s="3" t="s">
        <v>354</v>
      </c>
      <c r="J46" s="3" t="s">
        <v>345</v>
      </c>
      <c r="K46" s="4">
        <v>46055</v>
      </c>
      <c r="L46" s="3" t="s">
        <v>355</v>
      </c>
      <c r="M46" s="3"/>
    </row>
    <row r="47" spans="1:13" x14ac:dyDescent="0.3">
      <c r="A47" s="2" t="s">
        <v>261</v>
      </c>
      <c r="B47" s="3" t="s">
        <v>255</v>
      </c>
      <c r="C47" s="3" t="s">
        <v>15</v>
      </c>
      <c r="D47" s="3" t="s">
        <v>262</v>
      </c>
      <c r="E47" s="3" t="s">
        <v>263</v>
      </c>
      <c r="F47" s="3" t="s">
        <v>264</v>
      </c>
      <c r="G47" s="3" t="s">
        <v>265</v>
      </c>
      <c r="H47" s="3" t="s">
        <v>266</v>
      </c>
      <c r="I47" s="3" t="s">
        <v>354</v>
      </c>
      <c r="J47" s="3" t="s">
        <v>345</v>
      </c>
      <c r="K47" s="4">
        <v>46055</v>
      </c>
      <c r="L47" s="3" t="s">
        <v>355</v>
      </c>
      <c r="M47" s="3"/>
    </row>
    <row r="48" spans="1:13" ht="28.8" x14ac:dyDescent="0.3">
      <c r="A48" s="2" t="s">
        <v>267</v>
      </c>
      <c r="B48" s="3" t="s">
        <v>255</v>
      </c>
      <c r="C48" s="3" t="s">
        <v>15</v>
      </c>
      <c r="D48" s="3" t="s">
        <v>268</v>
      </c>
      <c r="E48" s="3" t="s">
        <v>269</v>
      </c>
      <c r="F48" s="3" t="s">
        <v>270</v>
      </c>
      <c r="G48" s="3" t="s">
        <v>271</v>
      </c>
      <c r="H48" s="3" t="s">
        <v>272</v>
      </c>
      <c r="I48" s="3" t="s">
        <v>354</v>
      </c>
      <c r="J48" s="3" t="s">
        <v>345</v>
      </c>
      <c r="K48" s="4">
        <v>46055</v>
      </c>
      <c r="L48" s="3" t="s">
        <v>355</v>
      </c>
      <c r="M48" s="3"/>
    </row>
    <row r="49" spans="1:13" x14ac:dyDescent="0.3">
      <c r="A49" s="2" t="s">
        <v>273</v>
      </c>
      <c r="B49" s="3" t="s">
        <v>255</v>
      </c>
      <c r="C49" s="3" t="s">
        <v>23</v>
      </c>
      <c r="D49" s="3" t="s">
        <v>274</v>
      </c>
      <c r="E49" s="3" t="s">
        <v>275</v>
      </c>
      <c r="F49" s="3" t="s">
        <v>276</v>
      </c>
      <c r="G49" s="3" t="s">
        <v>277</v>
      </c>
      <c r="H49" s="3" t="s">
        <v>278</v>
      </c>
      <c r="I49" s="3" t="s">
        <v>354</v>
      </c>
      <c r="J49" s="3" t="s">
        <v>345</v>
      </c>
      <c r="K49" s="4">
        <v>46055</v>
      </c>
      <c r="L49" s="3" t="s">
        <v>355</v>
      </c>
      <c r="M49" s="3"/>
    </row>
    <row r="50" spans="1:13" x14ac:dyDescent="0.3">
      <c r="A50" s="2" t="s">
        <v>279</v>
      </c>
      <c r="B50" s="3" t="s">
        <v>280</v>
      </c>
      <c r="C50" s="3" t="s">
        <v>15</v>
      </c>
      <c r="D50" s="3" t="s">
        <v>281</v>
      </c>
      <c r="E50" s="3" t="s">
        <v>282</v>
      </c>
      <c r="F50" s="3" t="s">
        <v>283</v>
      </c>
      <c r="G50" s="3" t="s">
        <v>284</v>
      </c>
      <c r="H50" s="3" t="s">
        <v>285</v>
      </c>
      <c r="I50" s="3" t="s">
        <v>354</v>
      </c>
      <c r="J50" s="3" t="s">
        <v>345</v>
      </c>
      <c r="K50" s="4">
        <v>46055</v>
      </c>
      <c r="L50" s="3" t="s">
        <v>355</v>
      </c>
      <c r="M50" s="3"/>
    </row>
    <row r="51" spans="1:13" x14ac:dyDescent="0.3">
      <c r="A51" s="2" t="s">
        <v>286</v>
      </c>
      <c r="B51" s="3" t="s">
        <v>280</v>
      </c>
      <c r="C51" s="3" t="s">
        <v>15</v>
      </c>
      <c r="D51" s="3" t="s">
        <v>287</v>
      </c>
      <c r="E51" s="3" t="s">
        <v>282</v>
      </c>
      <c r="F51" s="3" t="s">
        <v>288</v>
      </c>
      <c r="G51" s="3" t="s">
        <v>284</v>
      </c>
      <c r="H51" s="3" t="s">
        <v>289</v>
      </c>
      <c r="I51" s="3" t="s">
        <v>354</v>
      </c>
      <c r="J51" s="3" t="s">
        <v>345</v>
      </c>
      <c r="K51" s="4">
        <v>46055</v>
      </c>
      <c r="L51" s="3" t="s">
        <v>355</v>
      </c>
      <c r="M51" s="3"/>
    </row>
    <row r="52" spans="1:13" x14ac:dyDescent="0.3">
      <c r="A52" s="2" t="s">
        <v>290</v>
      </c>
      <c r="B52" s="3" t="s">
        <v>280</v>
      </c>
      <c r="C52" s="3" t="s">
        <v>15</v>
      </c>
      <c r="D52" s="3" t="s">
        <v>291</v>
      </c>
      <c r="E52" s="3" t="s">
        <v>282</v>
      </c>
      <c r="F52" s="3" t="s">
        <v>292</v>
      </c>
      <c r="G52" s="3" t="s">
        <v>284</v>
      </c>
      <c r="H52" s="3" t="s">
        <v>293</v>
      </c>
      <c r="I52" s="3" t="s">
        <v>354</v>
      </c>
      <c r="J52" s="3" t="s">
        <v>345</v>
      </c>
      <c r="K52" s="4">
        <v>46055</v>
      </c>
      <c r="L52" s="3" t="s">
        <v>355</v>
      </c>
      <c r="M52" s="3"/>
    </row>
    <row r="53" spans="1:13" x14ac:dyDescent="0.3">
      <c r="A53" s="2" t="s">
        <v>294</v>
      </c>
      <c r="B53" s="3" t="s">
        <v>280</v>
      </c>
      <c r="C53" s="3" t="s">
        <v>15</v>
      </c>
      <c r="D53" s="3" t="s">
        <v>295</v>
      </c>
      <c r="E53" s="3" t="s">
        <v>282</v>
      </c>
      <c r="F53" s="3" t="s">
        <v>296</v>
      </c>
      <c r="G53" s="3" t="s">
        <v>284</v>
      </c>
      <c r="H53" s="3" t="s">
        <v>297</v>
      </c>
      <c r="I53" s="3" t="s">
        <v>354</v>
      </c>
      <c r="J53" s="3" t="s">
        <v>345</v>
      </c>
      <c r="K53" s="4">
        <v>46055</v>
      </c>
      <c r="L53" s="3" t="s">
        <v>355</v>
      </c>
      <c r="M53" s="3"/>
    </row>
    <row r="54" spans="1:13" ht="28.8" x14ac:dyDescent="0.3">
      <c r="A54" s="2" t="s">
        <v>298</v>
      </c>
      <c r="B54" s="3" t="s">
        <v>280</v>
      </c>
      <c r="C54" s="3" t="s">
        <v>23</v>
      </c>
      <c r="D54" s="3" t="s">
        <v>299</v>
      </c>
      <c r="E54" s="3" t="s">
        <v>300</v>
      </c>
      <c r="F54" s="3" t="s">
        <v>301</v>
      </c>
      <c r="G54" s="3" t="s">
        <v>302</v>
      </c>
      <c r="H54" s="3"/>
      <c r="I54" s="3" t="s">
        <v>354</v>
      </c>
      <c r="J54" s="3" t="s">
        <v>345</v>
      </c>
      <c r="K54" s="4">
        <v>46055</v>
      </c>
      <c r="L54" s="3" t="s">
        <v>355</v>
      </c>
      <c r="M54" s="3"/>
    </row>
    <row r="55" spans="1:13" x14ac:dyDescent="0.3">
      <c r="A55" s="2" t="s">
        <v>303</v>
      </c>
      <c r="B55" s="3" t="s">
        <v>280</v>
      </c>
      <c r="C55" s="3" t="s">
        <v>23</v>
      </c>
      <c r="D55" s="3" t="s">
        <v>304</v>
      </c>
      <c r="E55" s="3" t="s">
        <v>305</v>
      </c>
      <c r="F55" s="3" t="s">
        <v>306</v>
      </c>
      <c r="G55" s="3" t="s">
        <v>307</v>
      </c>
      <c r="H55" s="3" t="s">
        <v>308</v>
      </c>
      <c r="I55" s="3" t="s">
        <v>354</v>
      </c>
      <c r="J55" s="3" t="s">
        <v>345</v>
      </c>
      <c r="K55" s="4">
        <v>46055</v>
      </c>
      <c r="L55" s="3" t="s">
        <v>355</v>
      </c>
      <c r="M55" s="3"/>
    </row>
    <row r="56" spans="1:13" ht="28.8" x14ac:dyDescent="0.3">
      <c r="A56" s="2" t="s">
        <v>309</v>
      </c>
      <c r="B56" s="3" t="s">
        <v>310</v>
      </c>
      <c r="C56" s="3" t="s">
        <v>15</v>
      </c>
      <c r="D56" s="3" t="s">
        <v>311</v>
      </c>
      <c r="E56" s="3" t="s">
        <v>312</v>
      </c>
      <c r="F56" s="3" t="s">
        <v>313</v>
      </c>
      <c r="G56" s="3" t="s">
        <v>314</v>
      </c>
      <c r="H56" s="3" t="s">
        <v>315</v>
      </c>
      <c r="I56" s="3" t="s">
        <v>354</v>
      </c>
      <c r="J56" s="3" t="s">
        <v>345</v>
      </c>
      <c r="K56" s="4">
        <v>46055</v>
      </c>
      <c r="L56" s="3" t="s">
        <v>355</v>
      </c>
      <c r="M56" s="3"/>
    </row>
    <row r="57" spans="1:13" ht="28.8" x14ac:dyDescent="0.3">
      <c r="A57" s="2" t="s">
        <v>316</v>
      </c>
      <c r="B57" s="3" t="s">
        <v>310</v>
      </c>
      <c r="C57" s="3" t="s">
        <v>15</v>
      </c>
      <c r="D57" s="3" t="s">
        <v>317</v>
      </c>
      <c r="E57" s="3" t="s">
        <v>318</v>
      </c>
      <c r="F57" s="3" t="s">
        <v>319</v>
      </c>
      <c r="G57" s="3" t="s">
        <v>320</v>
      </c>
      <c r="H57" s="3" t="s">
        <v>321</v>
      </c>
      <c r="I57" s="3" t="s">
        <v>354</v>
      </c>
      <c r="J57" s="3" t="s">
        <v>345</v>
      </c>
      <c r="K57" s="4">
        <v>46055</v>
      </c>
      <c r="L57" s="3" t="s">
        <v>355</v>
      </c>
      <c r="M57" s="3"/>
    </row>
    <row r="58" spans="1:13" ht="28.8" x14ac:dyDescent="0.3">
      <c r="A58" s="2" t="s">
        <v>322</v>
      </c>
      <c r="B58" s="3" t="s">
        <v>310</v>
      </c>
      <c r="C58" s="3" t="s">
        <v>23</v>
      </c>
      <c r="D58" s="3" t="s">
        <v>323</v>
      </c>
      <c r="E58" s="3" t="s">
        <v>324</v>
      </c>
      <c r="F58" s="3" t="s">
        <v>325</v>
      </c>
      <c r="G58" s="3" t="s">
        <v>326</v>
      </c>
      <c r="H58" s="3" t="s">
        <v>327</v>
      </c>
      <c r="I58" s="3" t="s">
        <v>354</v>
      </c>
      <c r="J58" s="3" t="s">
        <v>345</v>
      </c>
      <c r="K58" s="4">
        <v>46055</v>
      </c>
      <c r="L58" s="3" t="s">
        <v>355</v>
      </c>
      <c r="M58" s="3"/>
    </row>
    <row r="59" spans="1:13" ht="28.8" x14ac:dyDescent="0.3">
      <c r="A59" s="2" t="s">
        <v>328</v>
      </c>
      <c r="B59" s="3" t="s">
        <v>310</v>
      </c>
      <c r="C59" s="3" t="s">
        <v>15</v>
      </c>
      <c r="D59" s="3" t="s">
        <v>329</v>
      </c>
      <c r="E59" s="3" t="s">
        <v>330</v>
      </c>
      <c r="F59" s="3" t="s">
        <v>331</v>
      </c>
      <c r="G59" s="3" t="s">
        <v>332</v>
      </c>
      <c r="H59" s="3" t="s">
        <v>333</v>
      </c>
      <c r="I59" s="3" t="s">
        <v>354</v>
      </c>
      <c r="J59" s="3" t="s">
        <v>345</v>
      </c>
      <c r="K59" s="4">
        <v>46055</v>
      </c>
      <c r="L59" s="3" t="s">
        <v>355</v>
      </c>
      <c r="M59" s="3"/>
    </row>
  </sheetData>
  <autoFilter ref="A1:M59"/>
  <conditionalFormatting sqref="J2:J59">
    <cfRule type="expression" dxfId="0" priority="3">
      <formula>UPPER(TRIM($J2))="OK"</formula>
    </cfRule>
    <cfRule type="expression" dxfId="9" priority="4">
      <formula>$J2="KO"</formula>
    </cfRule>
    <cfRule type="expression" dxfId="8" priority="5">
      <formula>$J2="Bloccato"</formula>
    </cfRule>
    <cfRule type="expression" dxfId="7" priority="6">
      <formula>$J2="Da eseguire"</formula>
    </cfRule>
    <cfRule type="expression" dxfId="6" priority="7">
      <formula>$J2="Non applicabile"</formula>
    </cfRule>
  </conditionalFormatting>
  <conditionalFormatting sqref="C2:C59">
    <cfRule type="expression" dxfId="5" priority="8">
      <formula>$C2="Alta"</formula>
    </cfRule>
    <cfRule type="expression" dxfId="4" priority="9">
      <formula>$C2="Media"</formula>
    </cfRule>
    <cfRule type="expression" dxfId="3" priority="10">
      <formula>$C2="Bassa"</formula>
    </cfRule>
  </conditionalFormatting>
  <conditionalFormatting sqref="J2">
    <cfRule type="cellIs" dxfId="2" priority="2" operator="equal">
      <formula>"OK"</formula>
    </cfRule>
    <cfRule type="cellIs" dxfId="1" priority="1" operator="equal">
      <formula>"KO"</formula>
    </cfRule>
  </conditionalFormatting>
  <dataValidations count="3">
    <dataValidation type="list" allowBlank="1" sqref="C2:C59">
      <formula1>"Alta,Media,Bassa"</formula1>
    </dataValidation>
    <dataValidation type="list" allowBlank="1" sqref="J2:J59">
      <formula1>"Da eseguire,OK,KO,Bloccato,Non applicabile"</formula1>
    </dataValidation>
    <dataValidation type="list" allowBlank="1" sqref="I2:I59">
      <formula1>"Conforme,Non conforme,Parziale,Non eseguito"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workbookViewId="0">
      <selection sqref="A1:D1"/>
    </sheetView>
  </sheetViews>
  <sheetFormatPr defaultRowHeight="14.4" x14ac:dyDescent="0.3"/>
  <cols>
    <col min="1" max="1" width="24" customWidth="1"/>
    <col min="2" max="2" width="45" customWidth="1"/>
    <col min="3" max="3" width="16" customWidth="1"/>
    <col min="4" max="4" width="32" customWidth="1"/>
  </cols>
  <sheetData>
    <row r="1" spans="1:4" ht="21" x14ac:dyDescent="0.4">
      <c r="A1" s="10" t="s">
        <v>334</v>
      </c>
      <c r="B1" s="11"/>
      <c r="C1" s="11"/>
      <c r="D1" s="11"/>
    </row>
    <row r="3" spans="1:4" x14ac:dyDescent="0.3">
      <c r="A3" s="6" t="s">
        <v>335</v>
      </c>
      <c r="B3" s="6" t="s">
        <v>336</v>
      </c>
      <c r="C3" s="6" t="s">
        <v>337</v>
      </c>
      <c r="D3" s="6" t="s">
        <v>12</v>
      </c>
    </row>
    <row r="4" spans="1:4" x14ac:dyDescent="0.3">
      <c r="A4" t="s">
        <v>338</v>
      </c>
      <c r="B4">
        <f>COUNTA('Test Cases'!A2:A1000)</f>
        <v>58</v>
      </c>
      <c r="C4">
        <f>COUNTA('Test Cases'!A2:A1000)</f>
        <v>58</v>
      </c>
    </row>
    <row r="5" spans="1:4" x14ac:dyDescent="0.3">
      <c r="A5" t="s">
        <v>339</v>
      </c>
      <c r="B5">
        <f>COUNTIF('Test Cases'!J:J,"OK")</f>
        <v>58</v>
      </c>
      <c r="C5">
        <f>COUNTIF('Test Cases'!J:J,"OK")</f>
        <v>58</v>
      </c>
    </row>
    <row r="6" spans="1:4" x14ac:dyDescent="0.3">
      <c r="A6" t="s">
        <v>340</v>
      </c>
      <c r="B6">
        <f>COUNTIF('Test Cases'!J:J,"KO")</f>
        <v>0</v>
      </c>
      <c r="C6">
        <f>COUNTIF('Test Cases'!J:J,"KO")</f>
        <v>0</v>
      </c>
    </row>
    <row r="7" spans="1:4" x14ac:dyDescent="0.3">
      <c r="A7" t="s">
        <v>21</v>
      </c>
      <c r="B7">
        <f>COUNTIF('Test Cases'!J:J,"Da eseguire")</f>
        <v>0</v>
      </c>
      <c r="C7">
        <f>COUNTIF('Test Cases'!J:J,"Da eseguire")</f>
        <v>0</v>
      </c>
    </row>
    <row r="8" spans="1:4" x14ac:dyDescent="0.3">
      <c r="A8" t="s">
        <v>341</v>
      </c>
      <c r="B8">
        <f>COUNTIF('Test Cases'!J:J,"Bloccato")</f>
        <v>0</v>
      </c>
      <c r="C8">
        <f>COUNTIF('Test Cases'!J:J,"Bloccato")</f>
        <v>0</v>
      </c>
    </row>
    <row r="9" spans="1:4" x14ac:dyDescent="0.3">
      <c r="A9" t="s">
        <v>342</v>
      </c>
      <c r="B9">
        <f>IF(C4=0,0,C5/C4)</f>
        <v>1</v>
      </c>
      <c r="C9" s="7">
        <f>IF(C4=0,0,C5/C4)</f>
        <v>1</v>
      </c>
      <c r="D9" t="s">
        <v>343</v>
      </c>
    </row>
    <row r="12" spans="1:4" x14ac:dyDescent="0.3">
      <c r="A12" s="8" t="s">
        <v>1</v>
      </c>
      <c r="B12" s="8" t="s">
        <v>344</v>
      </c>
      <c r="C12" s="8" t="s">
        <v>345</v>
      </c>
      <c r="D12" s="8" t="s">
        <v>346</v>
      </c>
    </row>
    <row r="13" spans="1:4" x14ac:dyDescent="0.3">
      <c r="A13" t="s">
        <v>14</v>
      </c>
      <c r="B13">
        <f>COUNTIF('Test Cases'!B:B,A13)</f>
        <v>8</v>
      </c>
      <c r="C13">
        <f>COUNTIFS('Test Cases'!B:B,A13,'Test Cases'!J:J,"OK")</f>
        <v>8</v>
      </c>
      <c r="D13">
        <f>COUNTIFS('Test Cases'!B:B,A13,'Test Cases'!J:J,"KO")</f>
        <v>0</v>
      </c>
    </row>
    <row r="14" spans="1:4" x14ac:dyDescent="0.3">
      <c r="A14" t="s">
        <v>255</v>
      </c>
      <c r="B14">
        <f>COUNTIF('Test Cases'!B:B,A14)</f>
        <v>4</v>
      </c>
      <c r="C14">
        <f>COUNTIFS('Test Cases'!B:B,A14,'Test Cases'!J:J,"OK")</f>
        <v>4</v>
      </c>
      <c r="D14">
        <f>COUNTIFS('Test Cases'!B:B,A14,'Test Cases'!J:J,"KO")</f>
        <v>0</v>
      </c>
    </row>
    <row r="15" spans="1:4" x14ac:dyDescent="0.3">
      <c r="A15" t="s">
        <v>237</v>
      </c>
      <c r="B15">
        <f>COUNTIF('Test Cases'!B:B,A15)</f>
        <v>3</v>
      </c>
      <c r="C15">
        <f>COUNTIFS('Test Cases'!B:B,A15,'Test Cases'!J:J,"OK")</f>
        <v>3</v>
      </c>
      <c r="D15">
        <f>COUNTIFS('Test Cases'!B:B,A15,'Test Cases'!J:J,"KO")</f>
        <v>0</v>
      </c>
    </row>
    <row r="16" spans="1:4" x14ac:dyDescent="0.3">
      <c r="A16" t="s">
        <v>310</v>
      </c>
      <c r="B16">
        <f>COUNTIF('Test Cases'!B:B,A16)</f>
        <v>4</v>
      </c>
      <c r="C16">
        <f>COUNTIFS('Test Cases'!B:B,A16,'Test Cases'!J:J,"OK")</f>
        <v>4</v>
      </c>
      <c r="D16">
        <f>COUNTIFS('Test Cases'!B:B,A16,'Test Cases'!J:J,"KO")</f>
        <v>0</v>
      </c>
    </row>
    <row r="17" spans="1:4" x14ac:dyDescent="0.3">
      <c r="A17" t="s">
        <v>126</v>
      </c>
      <c r="B17">
        <f>COUNTIF('Test Cases'!B:B,A17)</f>
        <v>11</v>
      </c>
      <c r="C17">
        <f>COUNTIFS('Test Cases'!B:B,A17,'Test Cases'!J:J,"OK")</f>
        <v>11</v>
      </c>
      <c r="D17">
        <f>COUNTIFS('Test Cases'!B:B,A17,'Test Cases'!J:J,"KO")</f>
        <v>0</v>
      </c>
    </row>
    <row r="18" spans="1:4" x14ac:dyDescent="0.3">
      <c r="A18" t="s">
        <v>186</v>
      </c>
      <c r="B18">
        <f>COUNTIF('Test Cases'!B:B,A18)</f>
        <v>10</v>
      </c>
      <c r="C18">
        <f>COUNTIFS('Test Cases'!B:B,A18,'Test Cases'!J:J,"OK")</f>
        <v>10</v>
      </c>
      <c r="D18">
        <f>COUNTIFS('Test Cases'!B:B,A18,'Test Cases'!J:J,"KO")</f>
        <v>0</v>
      </c>
    </row>
    <row r="19" spans="1:4" x14ac:dyDescent="0.3">
      <c r="A19" t="s">
        <v>280</v>
      </c>
      <c r="B19">
        <f>COUNTIF('Test Cases'!B:B,A19)</f>
        <v>6</v>
      </c>
      <c r="C19">
        <f>COUNTIFS('Test Cases'!B:B,A19,'Test Cases'!J:J,"OK")</f>
        <v>6</v>
      </c>
      <c r="D19">
        <f>COUNTIFS('Test Cases'!B:B,A19,'Test Cases'!J:J,"KO")</f>
        <v>0</v>
      </c>
    </row>
    <row r="20" spans="1:4" x14ac:dyDescent="0.3">
      <c r="A20" t="s">
        <v>61</v>
      </c>
      <c r="B20">
        <f>COUNTIF('Test Cases'!B:B,A20)</f>
        <v>12</v>
      </c>
      <c r="C20">
        <f>COUNTIFS('Test Cases'!B:B,A20,'Test Cases'!J:J,"OK")</f>
        <v>12</v>
      </c>
      <c r="D20">
        <f>COUNTIFS('Test Cases'!B:B,A20,'Test Cases'!J:J,"KO")</f>
        <v>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workbookViewId="0"/>
  </sheetViews>
  <sheetFormatPr defaultRowHeight="14.4" x14ac:dyDescent="0.3"/>
  <cols>
    <col min="1" max="1" width="120" customWidth="1"/>
  </cols>
  <sheetData>
    <row r="1" spans="1:1" ht="21" x14ac:dyDescent="0.4">
      <c r="A1" s="5" t="s">
        <v>347</v>
      </c>
    </row>
    <row r="3" spans="1:1" x14ac:dyDescent="0.3">
      <c r="A3" s="9" t="s">
        <v>348</v>
      </c>
    </row>
    <row r="4" spans="1:1" x14ac:dyDescent="0.3">
      <c r="A4" s="9" t="s">
        <v>349</v>
      </c>
    </row>
    <row r="5" spans="1:1" x14ac:dyDescent="0.3">
      <c r="A5" s="9" t="s">
        <v>350</v>
      </c>
    </row>
    <row r="6" spans="1:1" x14ac:dyDescent="0.3">
      <c r="A6" s="9" t="s">
        <v>351</v>
      </c>
    </row>
    <row r="7" spans="1:1" x14ac:dyDescent="0.3">
      <c r="A7" s="9" t="s">
        <v>352</v>
      </c>
    </row>
    <row r="8" spans="1:1" x14ac:dyDescent="0.3">
      <c r="A8" s="9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Test Cases</vt:lpstr>
      <vt:lpstr>Riepilogo</vt:lpstr>
      <vt:lpstr>Istruzioni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MATRAXIA FRANCESCO</cp:lastModifiedBy>
  <dcterms:created xsi:type="dcterms:W3CDTF">2026-05-05T12:48:40Z</dcterms:created>
  <dcterms:modified xsi:type="dcterms:W3CDTF">2026-05-06T10:49:39Z</dcterms:modified>
</cp:coreProperties>
</file>